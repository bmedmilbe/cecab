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bookViews>
    <workbookView xWindow="0" yWindow="0" windowWidth="16815" windowHeight="7650" activeTab="1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9" i="2" l="1"/>
  <c r="G9" i="2"/>
  <c r="F6" i="2"/>
  <c r="G6" i="2"/>
  <c r="E6" i="2"/>
  <c r="E9" i="2"/>
  <c r="G8" i="2"/>
  <c r="G7" i="2"/>
  <c r="F8" i="2"/>
  <c r="F7" i="2"/>
  <c r="E8" i="2"/>
  <c r="D8" i="2"/>
  <c r="D7" i="2"/>
  <c r="D5" i="1"/>
  <c r="D4" i="1"/>
  <c r="B6" i="1"/>
  <c r="B4" i="1"/>
  <c r="G4" i="1"/>
  <c r="E4" i="1"/>
  <c r="H4" i="1" s="1"/>
  <c r="D13" i="1"/>
  <c r="H9" i="1"/>
  <c r="C5" i="1"/>
  <c r="D9" i="1"/>
  <c r="E9" i="1" s="1"/>
  <c r="G9" i="1" s="1"/>
  <c r="D8" i="1"/>
  <c r="E8" i="1" s="1"/>
  <c r="G8" i="1" s="1"/>
  <c r="D7" i="1"/>
  <c r="D6" i="1"/>
  <c r="E6" i="1" s="1"/>
  <c r="G6" i="1" s="1"/>
  <c r="D3" i="1"/>
  <c r="E3" i="1"/>
  <c r="G3" i="1" s="1"/>
  <c r="E5" i="1"/>
  <c r="G5" i="1" s="1"/>
  <c r="E7" i="1"/>
  <c r="G7" i="1" s="1"/>
  <c r="H5" i="1" l="1"/>
  <c r="H10" i="1" s="1"/>
  <c r="H6" i="1"/>
  <c r="H8" i="1"/>
  <c r="C6" i="1"/>
  <c r="H7" i="1"/>
  <c r="H3" i="1"/>
  <c r="G10" i="1"/>
  <c r="E2" i="1"/>
</calcChain>
</file>

<file path=xl/sharedStrings.xml><?xml version="1.0" encoding="utf-8"?>
<sst xmlns="http://schemas.openxmlformats.org/spreadsheetml/2006/main" count="14" uniqueCount="14">
  <si>
    <t>Premio</t>
  </si>
  <si>
    <t>Lojas</t>
  </si>
  <si>
    <t>Imposto</t>
  </si>
  <si>
    <t>Ligar ao Koppas</t>
  </si>
  <si>
    <t>Entrega amanha</t>
  </si>
  <si>
    <t>Logistica</t>
  </si>
  <si>
    <t>Poupança</t>
  </si>
  <si>
    <t>Divisão</t>
  </si>
  <si>
    <t>Dalila Faz Market e Publicidade</t>
  </si>
  <si>
    <t>Quinzenalmente</t>
  </si>
  <si>
    <t>A Grsso</t>
  </si>
  <si>
    <t>Recebe 100</t>
  </si>
  <si>
    <t>Depoisita Valor de 100 no banco</t>
  </si>
  <si>
    <t>Recebe novamente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</si>
</sst>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-* #,##0.00\ _€_-;\-* #,##0.00\ _€_-;_-* &quot;-&quot;??\ _€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43" fontId="0" fillId="0" borderId="0" xfId="1" applyFont="1"/>
    <xf numFmtId="43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13"/>
  <sheetViews>
    <sheetView workbookViewId="0">
      <selection activeCell="B16" sqref="B16"/>
    </sheetView>
  </sheetViews>
  <sheetFormatPr defaultRowHeight="15" x14ac:dyDescent="0.25"/>
  <cols>
    <col min="2" max="2" width="29.85546875" bestFit="1" customWidth="1"/>
    <col min="3" max="3" width="28.5703125" customWidth="1"/>
    <col min="5" max="5" width="16.85546875" customWidth="1"/>
    <col min="7" max="7" width="23.28515625" customWidth="1"/>
    <col min="8" max="8" width="15.28515625" bestFit="1" customWidth="1"/>
    <col min="9" max="9" width="10.85546875" bestFit="1" customWidth="1"/>
  </cols>
  <sheetData>
    <row r="2" spans="2:9" x14ac:dyDescent="0.25">
      <c r="E2">
        <f>SUM(E3:E11)-C3</f>
        <v>0</v>
      </c>
      <c r="G2" t="s">
        <v>3</v>
      </c>
      <c r="H2" t="s">
        <v>4</v>
      </c>
    </row>
    <row r="3" spans="2:9" x14ac:dyDescent="0.25">
      <c r="C3">
        <v>10</v>
      </c>
      <c r="D3">
        <f>20%</f>
        <v>0.2</v>
      </c>
      <c r="E3">
        <f>$C$3*D3</f>
        <v>2</v>
      </c>
      <c r="F3" t="s">
        <v>0</v>
      </c>
      <c r="G3" s="1">
        <f>$C$4*E3</f>
        <v>60000</v>
      </c>
      <c r="H3" s="1">
        <f>$C$5*E3</f>
        <v>200000</v>
      </c>
    </row>
    <row r="4" spans="2:9" x14ac:dyDescent="0.25">
      <c r="B4">
        <f>7</f>
        <v>7</v>
      </c>
      <c r="C4" s="1">
        <v>30000</v>
      </c>
      <c r="D4">
        <f>3%</f>
        <v>0.03</v>
      </c>
      <c r="E4">
        <f>$C$3*D4</f>
        <v>0.3</v>
      </c>
      <c r="F4" t="s">
        <v>10</v>
      </c>
      <c r="G4" s="1">
        <f>$C$4*E4</f>
        <v>9000</v>
      </c>
      <c r="H4" s="1">
        <f>$C$5*E4</f>
        <v>30000</v>
      </c>
      <c r="I4" s="2"/>
    </row>
    <row r="5" spans="2:9" x14ac:dyDescent="0.25">
      <c r="B5">
        <v>100</v>
      </c>
      <c r="C5" s="1">
        <f>100000</f>
        <v>100000</v>
      </c>
      <c r="D5">
        <f>7%</f>
        <v>7.0000000000000007E-2</v>
      </c>
      <c r="E5">
        <f t="shared" ref="E5:E9" si="0">$C$3*D5</f>
        <v>0.70000000000000007</v>
      </c>
      <c r="F5" t="s">
        <v>1</v>
      </c>
      <c r="G5" s="1">
        <f t="shared" ref="G5:G9" si="1">$C$4*E5</f>
        <v>21000.000000000004</v>
      </c>
      <c r="H5" s="1">
        <f t="shared" ref="H5:H9" si="2">$C$5*E5</f>
        <v>70000</v>
      </c>
    </row>
    <row r="6" spans="2:9" x14ac:dyDescent="0.25">
      <c r="B6">
        <f>B5*10</f>
        <v>1000</v>
      </c>
      <c r="C6">
        <f>C5/C4</f>
        <v>3.3333333333333335</v>
      </c>
      <c r="D6">
        <f>15%</f>
        <v>0.15</v>
      </c>
      <c r="E6">
        <f t="shared" si="0"/>
        <v>1.5</v>
      </c>
      <c r="F6" t="s">
        <v>2</v>
      </c>
      <c r="G6" s="1">
        <f t="shared" si="1"/>
        <v>45000</v>
      </c>
      <c r="H6" s="1">
        <f t="shared" si="2"/>
        <v>150000</v>
      </c>
    </row>
    <row r="7" spans="2:9" x14ac:dyDescent="0.25">
      <c r="B7" t="s">
        <v>11</v>
      </c>
      <c r="D7">
        <f>35%</f>
        <v>0.35</v>
      </c>
      <c r="E7">
        <f t="shared" si="0"/>
        <v>3.5</v>
      </c>
      <c r="F7" t="s">
        <v>5</v>
      </c>
      <c r="G7" s="1">
        <f t="shared" si="1"/>
        <v>105000</v>
      </c>
      <c r="H7" s="1">
        <f t="shared" si="2"/>
        <v>350000</v>
      </c>
    </row>
    <row r="8" spans="2:9" x14ac:dyDescent="0.25">
      <c r="B8" t="s">
        <v>12</v>
      </c>
      <c r="D8">
        <f>10%</f>
        <v>0.1</v>
      </c>
      <c r="E8">
        <f t="shared" si="0"/>
        <v>1</v>
      </c>
      <c r="F8" t="s">
        <v>6</v>
      </c>
      <c r="G8" s="1">
        <f t="shared" si="1"/>
        <v>30000</v>
      </c>
      <c r="H8" s="1">
        <f t="shared" si="2"/>
        <v>100000</v>
      </c>
    </row>
    <row r="9" spans="2:9" x14ac:dyDescent="0.25">
      <c r="B9" t="s">
        <v>13</v>
      </c>
      <c r="D9">
        <f>10%</f>
        <v>0.1</v>
      </c>
      <c r="E9">
        <f t="shared" si="0"/>
        <v>1</v>
      </c>
      <c r="F9" t="s">
        <v>7</v>
      </c>
      <c r="G9" s="1">
        <f t="shared" si="1"/>
        <v>30000</v>
      </c>
      <c r="H9" s="1">
        <f t="shared" si="2"/>
        <v>100000</v>
      </c>
    </row>
    <row r="10" spans="2:9" x14ac:dyDescent="0.25">
      <c r="G10" s="2">
        <f>SUM(G3:G9)</f>
        <v>300000</v>
      </c>
      <c r="H10" s="2">
        <f>SUM(H3:H9)</f>
        <v>1000000</v>
      </c>
    </row>
    <row r="12" spans="2:9" x14ac:dyDescent="0.25">
      <c r="C12" t="s">
        <v>8</v>
      </c>
    </row>
    <row r="13" spans="2:9" x14ac:dyDescent="0.25">
      <c r="D13">
        <f>100*24.5</f>
        <v>2450</v>
      </c>
      <c r="E13" t="s">
        <v>9</v>
      </c>
      <c r="G13" s="2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6:G9"/>
  <sheetViews>
    <sheetView tabSelected="1" workbookViewId="0">
      <selection activeCell="H6" sqref="H6"/>
    </sheetView>
  </sheetViews>
  <sheetFormatPr defaultRowHeight="15" x14ac:dyDescent="0.25"/>
  <sheetData>
    <row r="6" spans="4:7" x14ac:dyDescent="0.25">
      <c r="D6">
        <v>20</v>
      </c>
      <c r="E6">
        <f>$D$6*E7</f>
        <v>1200</v>
      </c>
      <c r="F6">
        <f t="shared" ref="F6:G6" si="0">$D$6*F7</f>
        <v>4800</v>
      </c>
      <c r="G6">
        <f t="shared" si="0"/>
        <v>57600</v>
      </c>
    </row>
    <row r="7" spans="4:7" x14ac:dyDescent="0.25">
      <c r="D7">
        <f>25*15</f>
        <v>375</v>
      </c>
      <c r="E7">
        <v>60</v>
      </c>
      <c r="F7">
        <f>E7*4</f>
        <v>240</v>
      </c>
      <c r="G7">
        <f>F7*12</f>
        <v>2880</v>
      </c>
    </row>
    <row r="8" spans="4:7" x14ac:dyDescent="0.25">
      <c r="D8">
        <f>15*20</f>
        <v>300</v>
      </c>
      <c r="E8">
        <f>D8*E7/D7</f>
        <v>48</v>
      </c>
      <c r="F8">
        <f>E8*4</f>
        <v>192</v>
      </c>
      <c r="G8">
        <f>F8*12</f>
        <v>2304</v>
      </c>
    </row>
    <row r="9" spans="4:7" x14ac:dyDescent="0.25">
      <c r="E9">
        <f>E8*$D$6</f>
        <v>960</v>
      </c>
      <c r="F9">
        <f t="shared" ref="F9:G9" si="1">F8*$D$6</f>
        <v>3840</v>
      </c>
      <c r="G9">
        <f t="shared" si="1"/>
        <v>46080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Utilisateur Windows</dc:creator>
  <cp:lastModifiedBy>Utilisateur Windows</cp:lastModifiedBy>
  <dcterms:created xsi:type="dcterms:W3CDTF">2020-10-27T09:06:54Z</dcterms:created>
  <dcterms:modified xsi:type="dcterms:W3CDTF">2020-10-28T05:52:30Z</dcterms:modified>
</cp:coreProperties>
</file>